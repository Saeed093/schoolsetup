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2 psc AI\School pickup sys\"/>
    </mc:Choice>
  </mc:AlternateContent>
  <xr:revisionPtr revIDLastSave="0" documentId="13_ncr:1_{5BB810D6-718C-4ADC-A7F6-0CF516339B1F}" xr6:coauthVersionLast="47" xr6:coauthVersionMax="47" xr10:uidLastSave="{00000000-0000-0000-0000-000000000000}"/>
  <bookViews>
    <workbookView xWindow="-120" yWindow="-120" windowWidth="38640" windowHeight="21120" xr2:uid="{E607B1BA-88D5-4485-9BBA-6581E7C82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1" l="1"/>
  <c r="F30" i="1"/>
  <c r="F48" i="1"/>
  <c r="F50" i="1" s="1"/>
  <c r="F43" i="1"/>
  <c r="F42" i="1"/>
  <c r="F39" i="1"/>
  <c r="F37" i="1"/>
  <c r="F21" i="1"/>
  <c r="F15" i="1"/>
  <c r="F14" i="1"/>
  <c r="F18" i="1" s="1"/>
  <c r="F20" i="1"/>
  <c r="F22" i="1" s="1"/>
  <c r="E9" i="1"/>
  <c r="F9" i="1" s="1"/>
  <c r="F8" i="1"/>
  <c r="F10" i="1"/>
  <c r="F7" i="1"/>
  <c r="F46" i="1" l="1"/>
  <c r="F40" i="1"/>
  <c r="F53" i="1"/>
  <c r="F11" i="1"/>
  <c r="F25" i="1"/>
  <c r="F26" i="1" l="1"/>
  <c r="F28" i="1" s="1"/>
  <c r="F29" i="1" s="1"/>
  <c r="F54" i="1"/>
  <c r="F56" i="1" s="1"/>
  <c r="F57" i="1" s="1"/>
</calcChain>
</file>

<file path=xl/sharedStrings.xml><?xml version="1.0" encoding="utf-8"?>
<sst xmlns="http://schemas.openxmlformats.org/spreadsheetml/2006/main" count="66" uniqueCount="45">
  <si>
    <t>School Smart System</t>
  </si>
  <si>
    <t>Cost</t>
  </si>
  <si>
    <t>Server</t>
  </si>
  <si>
    <t xml:space="preserve">Per item </t>
  </si>
  <si>
    <t>total</t>
  </si>
  <si>
    <t>https://easetec.com.pk/product/ease-mini-tower-pc-i5-emt5/</t>
  </si>
  <si>
    <t>Remarks</t>
  </si>
  <si>
    <t>Software</t>
  </si>
  <si>
    <t>Demo</t>
  </si>
  <si>
    <t>Qty/hr</t>
  </si>
  <si>
    <t>Sub total</t>
  </si>
  <si>
    <t>Cybersecurity plugins</t>
  </si>
  <si>
    <t>for over the internet access</t>
  </si>
  <si>
    <t>RFID Reader</t>
  </si>
  <si>
    <t>Camera</t>
  </si>
  <si>
    <t>https://4btech.com.pk/shop/hikvision/ip-cctv-camera/hikvision-ds-2cd2t47g3-lis2uy-sl-2-8mm-4mp-outdoor-colorvu-3-0-accuseek-ip-camera/</t>
  </si>
  <si>
    <t>https://fastsolutiontechnologies.com/product/rfid-card-reader/</t>
  </si>
  <si>
    <t>Cards</t>
  </si>
  <si>
    <t>Installation</t>
  </si>
  <si>
    <t>Subtotal</t>
  </si>
  <si>
    <t>Tags</t>
  </si>
  <si>
    <t>Total</t>
  </si>
  <si>
    <t>Long range reader</t>
  </si>
  <si>
    <t>Profit</t>
  </si>
  <si>
    <t>Share</t>
  </si>
  <si>
    <t>2 million Scenario</t>
  </si>
  <si>
    <t>1 million Scenario</t>
  </si>
  <si>
    <t>older used system</t>
  </si>
  <si>
    <t>Chrome book</t>
  </si>
  <si>
    <t>yet to be finalized</t>
  </si>
  <si>
    <t>margin 25%</t>
  </si>
  <si>
    <t>Margin 25%</t>
  </si>
  <si>
    <t>including dashboard</t>
  </si>
  <si>
    <t>excluding dashboard</t>
  </si>
  <si>
    <t>Scope</t>
  </si>
  <si>
    <t>Principles Dashboard as is</t>
  </si>
  <si>
    <t>7 x Classroom displays</t>
  </si>
  <si>
    <t>1 x Management panel for card registration</t>
  </si>
  <si>
    <t>1 x scan display for showing all children</t>
  </si>
  <si>
    <t>Card Scannning</t>
  </si>
  <si>
    <t>Picture of guardian at gate</t>
  </si>
  <si>
    <t>Logs</t>
  </si>
  <si>
    <t>Dashboard to show logs</t>
  </si>
  <si>
    <t>Total Price</t>
  </si>
  <si>
    <t>Taxes at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</si>
</sst>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/>
    <xf numFmtId="0" fontId="0" fillId="0" borderId="1" xfId="0" applyBorder="1"/>
    <xf numFmtId="3" fontId="0" fillId="0" borderId="1" xfId="0" applyNumberFormat="1" applyBorder="1"/>
    <xf numFmtId="164" fontId="0" fillId="0" borderId="1" xfId="1" applyNumberFormat="1" applyFont="1" applyBorder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BE23-51F0-473F-BF0E-59F19F11C5E6}">
  <dimension ref="C2:Q58"/>
  <sheetViews>
    <sheetView tabSelected="1" workbookViewId="0">
      <selection activeCell="F10" sqref="F10"/>
    </sheetView>
  </sheetViews>
  <sheetFormatPr defaultRowHeight="15" x14ac:dyDescent="0.25"/>
  <cols>
    <col min="3" max="3" width="20" bestFit="1" customWidth="1"/>
    <col min="5" max="5" width="11.28515625" bestFit="1" customWidth="1"/>
    <col min="6" max="6" width="12.5703125" bestFit="1" customWidth="1"/>
  </cols>
  <sheetData>
    <row r="2" spans="3:7" x14ac:dyDescent="0.25">
      <c r="C2" t="s">
        <v>0</v>
      </c>
    </row>
    <row r="4" spans="3:7" x14ac:dyDescent="0.25">
      <c r="C4" s="2" t="s">
        <v>25</v>
      </c>
    </row>
    <row r="6" spans="3:7" x14ac:dyDescent="0.25">
      <c r="C6" t="s">
        <v>1</v>
      </c>
      <c r="D6" t="s">
        <v>9</v>
      </c>
      <c r="E6" t="s">
        <v>3</v>
      </c>
      <c r="F6" t="s">
        <v>4</v>
      </c>
      <c r="G6" t="s">
        <v>6</v>
      </c>
    </row>
    <row r="7" spans="3:7" x14ac:dyDescent="0.25">
      <c r="C7" t="s">
        <v>2</v>
      </c>
      <c r="D7">
        <v>1</v>
      </c>
      <c r="E7" s="1">
        <v>132940</v>
      </c>
      <c r="F7">
        <f>E7*D7</f>
        <v>132940</v>
      </c>
      <c r="G7" t="s">
        <v>5</v>
      </c>
    </row>
    <row r="8" spans="3:7" x14ac:dyDescent="0.25">
      <c r="C8" t="s">
        <v>7</v>
      </c>
      <c r="D8">
        <v>126</v>
      </c>
      <c r="E8" s="1">
        <v>3000</v>
      </c>
      <c r="F8">
        <f t="shared" ref="F8" si="0">E8*D8</f>
        <v>378000</v>
      </c>
      <c r="G8" t="s">
        <v>32</v>
      </c>
    </row>
    <row r="9" spans="3:7" x14ac:dyDescent="0.25">
      <c r="C9" t="s">
        <v>11</v>
      </c>
      <c r="D9">
        <v>42</v>
      </c>
      <c r="E9">
        <f>3000</f>
        <v>3000</v>
      </c>
      <c r="F9">
        <f>E9*D9</f>
        <v>126000</v>
      </c>
      <c r="G9" t="s">
        <v>12</v>
      </c>
    </row>
    <row r="10" spans="3:7" x14ac:dyDescent="0.25">
      <c r="C10" t="s">
        <v>8</v>
      </c>
      <c r="D10">
        <v>72</v>
      </c>
      <c r="E10">
        <v>3000</v>
      </c>
      <c r="F10">
        <f>E10*D10</f>
        <v>216000</v>
      </c>
    </row>
    <row r="11" spans="3:7" x14ac:dyDescent="0.25">
      <c r="E11" t="s">
        <v>10</v>
      </c>
      <c r="F11">
        <f>SUM(F7:F10)</f>
        <v>852940</v>
      </c>
    </row>
    <row r="13" spans="3:7" x14ac:dyDescent="0.25">
      <c r="C13" t="s">
        <v>28</v>
      </c>
      <c r="D13">
        <v>1</v>
      </c>
      <c r="E13">
        <v>1</v>
      </c>
      <c r="F13">
        <v>25000</v>
      </c>
      <c r="G13" t="s">
        <v>16</v>
      </c>
    </row>
    <row r="14" spans="3:7" x14ac:dyDescent="0.25">
      <c r="C14" t="s">
        <v>13</v>
      </c>
      <c r="D14">
        <v>3</v>
      </c>
      <c r="E14">
        <v>5500</v>
      </c>
      <c r="F14">
        <f>E14*D14</f>
        <v>16500</v>
      </c>
      <c r="G14" t="s">
        <v>15</v>
      </c>
    </row>
    <row r="15" spans="3:7" x14ac:dyDescent="0.25">
      <c r="C15" t="s">
        <v>14</v>
      </c>
      <c r="D15">
        <v>3</v>
      </c>
      <c r="E15">
        <v>48000</v>
      </c>
      <c r="F15">
        <f>E15*D15</f>
        <v>144000</v>
      </c>
    </row>
    <row r="16" spans="3:7" x14ac:dyDescent="0.25">
      <c r="C16" t="s">
        <v>18</v>
      </c>
      <c r="F16">
        <v>75000</v>
      </c>
    </row>
    <row r="17" spans="3:14" x14ac:dyDescent="0.25">
      <c r="C17" t="s">
        <v>22</v>
      </c>
      <c r="D17">
        <v>1</v>
      </c>
      <c r="F17" s="1">
        <v>150000</v>
      </c>
      <c r="G17" t="s">
        <v>29</v>
      </c>
    </row>
    <row r="18" spans="3:14" x14ac:dyDescent="0.25">
      <c r="E18" t="s">
        <v>19</v>
      </c>
      <c r="F18">
        <f>SUM(F13:F17)</f>
        <v>410500</v>
      </c>
    </row>
    <row r="20" spans="3:14" x14ac:dyDescent="0.25">
      <c r="C20" t="s">
        <v>17</v>
      </c>
      <c r="D20">
        <v>150</v>
      </c>
      <c r="E20">
        <v>100</v>
      </c>
      <c r="F20">
        <f>E20*D20</f>
        <v>15000</v>
      </c>
    </row>
    <row r="21" spans="3:14" x14ac:dyDescent="0.25">
      <c r="C21" t="s">
        <v>20</v>
      </c>
      <c r="D21">
        <v>150</v>
      </c>
      <c r="E21">
        <v>450</v>
      </c>
      <c r="F21">
        <f>E21*D21</f>
        <v>67500</v>
      </c>
      <c r="G21" t="s">
        <v>29</v>
      </c>
      <c r="N21" t="s">
        <v>34</v>
      </c>
    </row>
    <row r="22" spans="3:14" x14ac:dyDescent="0.25">
      <c r="E22" t="s">
        <v>19</v>
      </c>
      <c r="F22">
        <f>SUM(F20:F21)</f>
        <v>82500</v>
      </c>
      <c r="N22" t="s">
        <v>35</v>
      </c>
    </row>
    <row r="23" spans="3:14" x14ac:dyDescent="0.25">
      <c r="N23" t="s">
        <v>36</v>
      </c>
    </row>
    <row r="24" spans="3:14" x14ac:dyDescent="0.25">
      <c r="N24" t="s">
        <v>37</v>
      </c>
    </row>
    <row r="25" spans="3:14" x14ac:dyDescent="0.25">
      <c r="E25" t="s">
        <v>21</v>
      </c>
      <c r="F25">
        <f>H26+F24+F22+F18+F11</f>
        <v>1345940</v>
      </c>
      <c r="N25" t="s">
        <v>38</v>
      </c>
    </row>
    <row r="26" spans="3:14" x14ac:dyDescent="0.25">
      <c r="E26" t="s">
        <v>31</v>
      </c>
      <c r="F26">
        <f>F25*125%</f>
        <v>1682425</v>
      </c>
      <c r="N26" t="s">
        <v>39</v>
      </c>
    </row>
    <row r="27" spans="3:14" x14ac:dyDescent="0.25">
      <c r="C27" s="3" t="s">
        <v>43</v>
      </c>
      <c r="D27" s="3"/>
      <c r="E27" s="3"/>
      <c r="F27" s="4">
        <v>2000000</v>
      </c>
      <c r="N27" t="s">
        <v>40</v>
      </c>
    </row>
    <row r="28" spans="3:14" x14ac:dyDescent="0.25">
      <c r="C28" s="3" t="s">
        <v>23</v>
      </c>
      <c r="D28" s="3"/>
      <c r="E28" s="3"/>
      <c r="F28" s="4">
        <f>F27-F26</f>
        <v>317575</v>
      </c>
      <c r="N28" t="s">
        <v>41</v>
      </c>
    </row>
    <row r="29" spans="3:14" x14ac:dyDescent="0.25">
      <c r="C29" s="3" t="s">
        <v>24</v>
      </c>
      <c r="D29" s="3"/>
      <c r="E29" s="3"/>
      <c r="F29" s="5">
        <f>F28/3</f>
        <v>105858.33333333333</v>
      </c>
      <c r="N29" t="s">
        <v>42</v>
      </c>
    </row>
    <row r="30" spans="3:14" x14ac:dyDescent="0.25">
      <c r="C30" t="s">
        <v>44</v>
      </c>
      <c r="F30">
        <f>F27*125%</f>
        <v>2500000</v>
      </c>
    </row>
    <row r="33" spans="3:17" x14ac:dyDescent="0.25">
      <c r="C33" s="2" t="s">
        <v>26</v>
      </c>
    </row>
    <row r="35" spans="3:17" x14ac:dyDescent="0.25">
      <c r="C35" t="s">
        <v>1</v>
      </c>
      <c r="D35" t="s">
        <v>9</v>
      </c>
      <c r="E35" t="s">
        <v>3</v>
      </c>
      <c r="F35" t="s">
        <v>4</v>
      </c>
    </row>
    <row r="36" spans="3:17" x14ac:dyDescent="0.25">
      <c r="C36" t="s">
        <v>2</v>
      </c>
      <c r="D36">
        <v>1</v>
      </c>
      <c r="E36" s="1">
        <v>75000</v>
      </c>
      <c r="F36">
        <v>75000</v>
      </c>
      <c r="G36" t="s">
        <v>27</v>
      </c>
    </row>
    <row r="37" spans="3:17" x14ac:dyDescent="0.25">
      <c r="C37" t="s">
        <v>7</v>
      </c>
      <c r="D37">
        <v>72</v>
      </c>
      <c r="E37" s="1">
        <v>3000</v>
      </c>
      <c r="F37">
        <f t="shared" ref="F37" si="1">E37*D37</f>
        <v>216000</v>
      </c>
      <c r="G37" t="s">
        <v>33</v>
      </c>
      <c r="P37" s="6"/>
    </row>
    <row r="39" spans="3:17" x14ac:dyDescent="0.25">
      <c r="C39" t="s">
        <v>8</v>
      </c>
      <c r="D39">
        <v>72</v>
      </c>
      <c r="E39">
        <v>3000</v>
      </c>
      <c r="F39">
        <f>E39*D39</f>
        <v>216000</v>
      </c>
      <c r="P39" s="6"/>
    </row>
    <row r="40" spans="3:17" x14ac:dyDescent="0.25">
      <c r="E40" t="s">
        <v>10</v>
      </c>
      <c r="F40">
        <f>SUM(F36:F39)</f>
        <v>507000</v>
      </c>
      <c r="Q40" s="6"/>
    </row>
    <row r="42" spans="3:17" x14ac:dyDescent="0.25">
      <c r="C42" t="s">
        <v>13</v>
      </c>
      <c r="D42">
        <v>1</v>
      </c>
      <c r="E42">
        <v>5500</v>
      </c>
      <c r="F42">
        <f>E42*D42</f>
        <v>5500</v>
      </c>
    </row>
    <row r="43" spans="3:17" x14ac:dyDescent="0.25">
      <c r="C43" t="s">
        <v>14</v>
      </c>
      <c r="D43">
        <v>1</v>
      </c>
      <c r="E43">
        <v>48000</v>
      </c>
      <c r="F43">
        <f>E43*D43</f>
        <v>48000</v>
      </c>
    </row>
    <row r="44" spans="3:17" x14ac:dyDescent="0.25">
      <c r="C44" t="s">
        <v>18</v>
      </c>
      <c r="F44">
        <v>25000</v>
      </c>
    </row>
    <row r="45" spans="3:17" x14ac:dyDescent="0.25">
      <c r="F45" s="1"/>
    </row>
    <row r="46" spans="3:17" x14ac:dyDescent="0.25">
      <c r="E46" t="s">
        <v>19</v>
      </c>
      <c r="F46">
        <f>SUM(F42:F45)</f>
        <v>78500</v>
      </c>
    </row>
    <row r="48" spans="3:17" x14ac:dyDescent="0.25">
      <c r="C48" t="s">
        <v>17</v>
      </c>
      <c r="D48">
        <v>150</v>
      </c>
      <c r="E48">
        <v>100</v>
      </c>
      <c r="F48">
        <f>E48*D48</f>
        <v>15000</v>
      </c>
    </row>
    <row r="50" spans="3:6" x14ac:dyDescent="0.25">
      <c r="E50" t="s">
        <v>19</v>
      </c>
      <c r="F50">
        <f>SUM(F48:F49)</f>
        <v>15000</v>
      </c>
    </row>
    <row r="53" spans="3:6" x14ac:dyDescent="0.25">
      <c r="E53" t="s">
        <v>21</v>
      </c>
      <c r="F53">
        <f>SUM(F50,F46,F40)</f>
        <v>600500</v>
      </c>
    </row>
    <row r="54" spans="3:6" x14ac:dyDescent="0.25">
      <c r="E54" t="s">
        <v>30</v>
      </c>
      <c r="F54">
        <f>F53*125%</f>
        <v>750625</v>
      </c>
    </row>
    <row r="55" spans="3:6" x14ac:dyDescent="0.25">
      <c r="C55" s="3" t="s">
        <v>43</v>
      </c>
      <c r="D55" s="3"/>
      <c r="E55" s="3"/>
      <c r="F55" s="4">
        <v>1000000</v>
      </c>
    </row>
    <row r="56" spans="3:6" x14ac:dyDescent="0.25">
      <c r="C56" s="3" t="s">
        <v>23</v>
      </c>
      <c r="D56" s="3"/>
      <c r="E56" s="3"/>
      <c r="F56" s="4">
        <f>F55-F54</f>
        <v>249375</v>
      </c>
    </row>
    <row r="57" spans="3:6" x14ac:dyDescent="0.25">
      <c r="C57" s="3" t="s">
        <v>24</v>
      </c>
      <c r="D57" s="3"/>
      <c r="E57" s="3"/>
      <c r="F57" s="5">
        <f>F56/3</f>
        <v>83125</v>
      </c>
    </row>
    <row r="58" spans="3:6" x14ac:dyDescent="0.25">
      <c r="C58" t="s">
        <v>44</v>
      </c>
      <c r="F58">
        <f>F55*125%</f>
        <v>1250000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Iqbal</dc:creator>
  <cp:lastModifiedBy>Saeed Iqbal</cp:lastModifiedBy>
  <dcterms:created xsi:type="dcterms:W3CDTF">2026-02-07T16:00:06Z</dcterms:created>
  <dcterms:modified xsi:type="dcterms:W3CDTF">2026-02-08T12:03:32Z</dcterms:modified>
</cp:coreProperties>
</file>